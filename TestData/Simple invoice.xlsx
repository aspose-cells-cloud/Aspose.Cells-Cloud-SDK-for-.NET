
<file path=[Content_Types].xml><?xml version="1.0" encoding="utf-8"?>
<Types xmlns="http://schemas.openxmlformats.org/package/2006/content-types">
  <Default Extension="xml" ContentType="application/xml"/>
  <Default Extension="wmf" ContentType="image/x-wmf"/>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dia/image2.svg" ContentType="image/sv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cells.cloud-sdk-net\testdata\"/>
    </mc:Choice>
  </mc:AlternateContent>
  <bookViews>
    <workbookView windowWidth="23145" windowHeight="8955"/>
  </bookViews>
  <sheets>
    <sheet name="Invoice" sheetId="1" r:id="rId1"/>
  </sheets>
  <definedNames>
    <definedName name="_xlnm.Print_Titles" localSheetId="0">Invoice!$13:$13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<sst xmlns="http://schemas.openxmlformats.org/spreadsheetml/2006/main" count="41" uniqueCount="41">
  <si>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Elegant</t>
  </si>
  <si>
    <t>INVOICE</t>
  </si>
  <si>
    <t>Embrace</t>
  </si>
  <si>
    <t>Invoice #:</t>
  </si>
  <si>
    <t xml:space="preserve"> </t>
  </si>
  <si>
    <t>Invoice date:</t>
  </si>
  <si>
    <t>Job:</t>
  </si>
  <si>
    <t>Wedding florals</t>
  </si>
  <si>
    <t>345 W Main</t>
  </si>
  <si>
    <t>Bill to:</t>
  </si>
  <si>
    <t>Hailey Clark</t>
  </si>
  <si>
    <t>Los Angeles, CA 14151</t>
  </si>
  <si>
    <t>Address:</t>
  </si>
  <si>
    <t xml:space="preserve">123 Avenue A, </t>
  </si>
  <si>
    <t>P: 123-456-7890</t>
  </si>
  <si>
    <t>Burbank, CA 56789</t>
  </si>
  <si>
    <t>F: 123-456-7890</t>
  </si>
  <si>
    <t>Phone:</t>
  </si>
  <si>
    <t>123-4567-890</t>
  </si>
  <si>
    <t>elegantembrace@example.com</t>
  </si>
  <si>
    <t>Fax:</t>
  </si>
  <si>
    <t>NA</t>
  </si>
  <si>
    <t>Item #</t>
  </si>
  <si>
    <t>Description</t>
  </si>
  <si>
    <t>Qty</t>
  </si>
  <si>
    <t>Unit price</t>
  </si>
  <si>
    <t>Discount</t>
  </si>
  <si>
    <t>Price</t>
  </si>
  <si>
    <t>A875</t>
  </si>
  <si>
    <t>Peonies</t>
  </si>
  <si>
    <t>K245</t>
  </si>
  <si>
    <t>Tulips</t>
  </si>
  <si>
    <t>U123</t>
  </si>
  <si>
    <t>Buttercup</t>
  </si>
  <si>
    <t>Invoice Subtotal</t>
  </si>
  <si>
    <t>Tax Rate</t>
  </si>
  <si>
    <t>Sales Tax</t>
  </si>
  <si>
    <t>Deposit Received</t>
  </si>
  <si>
    <t>TOTAL</t>
  </si>
  <si>
    <t>Total due in 90 days. Overdue accounts subject to a service charge of 1.5% per month.</t>
  </si>
  <si>
    <t xml:space="preserve">elegantembrace@example.com | www.interestingsite.com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</si>
</sst>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4" formatCode="_(&quot;$&quot;* #,##0.00_);_(&quot;$&quot;* \(#,##0.00\);_(&quot;$&quot;* &quot;-&quot;??_);_(@_)"/>
    <numFmt numFmtId="176" formatCode="_ * #,##0.00_ ;_ * \-#,##0.00_ ;_ * &quot;-&quot;??_ ;_ @_ "/>
    <numFmt numFmtId="177" formatCode="_ * #,##0_ ;_ * \-#,##0_ ;_ * &quot;-&quot;_ ;_ @_ "/>
    <numFmt numFmtId="178" formatCode="[&lt;=9999999]###\-####;\(###\)\ ###\-####"/>
    <numFmt numFmtId="179" formatCode="#_)"/>
    <numFmt numFmtId="180" formatCode="&quot;$&quot;#,##0.00"/>
    <numFmt numFmtId="181" formatCode="@\ \ "/>
  </numFmts>
  <fonts count="36">
    <font>
      <sz val="11"/>
      <color theme="2" tint="-0.749961851863155"/>
      <name val="Garamond"/>
      <charset val="134"/>
      <scheme val="minor"/>
    </font>
    <font>
      <sz val="12"/>
      <color theme="2" tint="-0.749961851863155"/>
      <name val="Garamond"/>
      <charset val="134"/>
      <scheme val="minor"/>
    </font>
    <font>
      <sz val="36"/>
      <color theme="1"/>
      <name val="Garamond"/>
      <charset val="134"/>
      <scheme val="minor"/>
    </font>
    <font>
      <b/>
      <sz val="36"/>
      <color theme="1"/>
      <name val="Tw Cen MT"/>
      <charset val="134"/>
      <scheme val="major"/>
    </font>
    <font>
      <b/>
      <sz val="12"/>
      <color theme="1"/>
      <name val="Garamond"/>
      <charset val="134"/>
      <scheme val="minor"/>
    </font>
    <font>
      <b/>
      <sz val="48"/>
      <color theme="1"/>
      <name val="Garamond"/>
      <charset val="134"/>
      <scheme val="minor"/>
    </font>
    <font>
      <b/>
      <sz val="48"/>
      <color theme="1"/>
      <name val="Tw Cen MT"/>
      <charset val="134"/>
      <scheme val="major"/>
    </font>
    <font>
      <b/>
      <sz val="12"/>
      <color theme="0"/>
      <name val="Garamond"/>
      <charset val="134"/>
      <scheme val="minor"/>
    </font>
    <font>
      <sz val="12"/>
      <color theme="2" tint="-0.899960325937681"/>
      <name val="Garamond"/>
      <charset val="134"/>
      <scheme val="minor"/>
    </font>
    <font>
      <b/>
      <sz val="36"/>
      <color theme="2" tint="-0.899960325937681"/>
      <name val="Tw Cen MT"/>
      <charset val="134"/>
      <scheme val="major"/>
    </font>
    <font>
      <sz val="12"/>
      <color theme="1"/>
      <name val="Garamond"/>
      <charset val="134"/>
      <scheme val="minor"/>
    </font>
    <font>
      <sz val="36"/>
      <color theme="2" tint="-0.899960325937681"/>
      <name val="Garamond"/>
      <charset val="134"/>
      <scheme val="minor"/>
    </font>
    <font>
      <sz val="12"/>
      <name val="Garamond"/>
      <charset val="134"/>
      <scheme val="minor"/>
    </font>
    <font>
      <sz val="12"/>
      <color theme="2" tint="-0.749961851863155"/>
      <name val="Garamond"/>
      <charset val="134"/>
      <scheme val="minor"/>
    </font>
    <font>
      <sz val="11"/>
      <color theme="1"/>
      <name val="Garamond"/>
      <charset val="134"/>
      <scheme val="minor"/>
    </font>
    <font>
      <sz val="11"/>
      <color theme="3"/>
      <name val="Garamond"/>
      <charset val="134"/>
      <scheme val="minor"/>
    </font>
    <font>
      <sz val="11"/>
      <color theme="2" tint="-0.899960325937681"/>
      <name val="Garamond"/>
      <charset val="134"/>
      <scheme val="minor"/>
    </font>
    <font>
      <sz val="11"/>
      <color theme="5" tint="-0.249946592608417"/>
      <name val="Garamond"/>
      <charset val="134"/>
      <scheme val="minor"/>
    </font>
    <font>
      <b/>
      <sz val="25"/>
      <color theme="0"/>
      <name val="Tw Cen MT"/>
      <charset val="134"/>
      <scheme val="major"/>
    </font>
    <font>
      <sz val="11"/>
      <color theme="2" tint="-0.899899288918729"/>
      <name val="Garamond"/>
      <charset val="134"/>
      <scheme val="minor"/>
    </font>
    <font>
      <sz val="11"/>
      <color theme="4" tint="-0.499984740745262"/>
      <name val="Tw Cen MT"/>
      <charset val="134"/>
      <scheme val="major"/>
    </font>
    <font>
      <sz val="14"/>
      <color theme="4" tint="-0.249946592608417"/>
      <name val="Garamond"/>
      <charset val="134"/>
      <scheme val="minor"/>
    </font>
    <font>
      <sz val="11"/>
      <name val="Garamond"/>
      <charset val="134"/>
      <scheme val="minor"/>
    </font>
    <font>
      <sz val="11"/>
      <color rgb="FF3F3F76"/>
      <name val="Garamond"/>
      <charset val="0"/>
      <scheme val="minor"/>
    </font>
    <font>
      <b/>
      <sz val="11"/>
      <color rgb="FF3F3F3F"/>
      <name val="Garamond"/>
      <charset val="0"/>
      <scheme val="minor"/>
    </font>
    <font>
      <b/>
      <sz val="11"/>
      <color rgb="FFFA7D00"/>
      <name val="Garamond"/>
      <charset val="0"/>
      <scheme val="minor"/>
    </font>
    <font>
      <b/>
      <sz val="11"/>
      <color rgb="FFFFFFFF"/>
      <name val="Garamond"/>
      <charset val="0"/>
      <scheme val="minor"/>
    </font>
    <font>
      <sz val="11"/>
      <color rgb="FFFA7D00"/>
      <name val="Garamond"/>
      <charset val="0"/>
      <scheme val="minor"/>
    </font>
    <font>
      <b/>
      <sz val="11"/>
      <color theme="1"/>
      <name val="Garamond"/>
      <charset val="134"/>
      <scheme val="minor"/>
    </font>
    <font>
      <sz val="11"/>
      <color rgb="FF006100"/>
      <name val="Garamond"/>
      <charset val="0"/>
      <scheme val="minor"/>
    </font>
    <font>
      <sz val="11"/>
      <color rgb="FF9C0006"/>
      <name val="Garamond"/>
      <charset val="0"/>
      <scheme val="minor"/>
    </font>
    <font>
      <sz val="11"/>
      <color rgb="FF9C6500"/>
      <name val="Garamond"/>
      <charset val="0"/>
      <scheme val="minor"/>
    </font>
    <font>
      <sz val="11"/>
      <color theme="0"/>
      <name val="Garamond"/>
      <charset val="0"/>
      <scheme val="minor"/>
    </font>
    <font>
      <sz val="11"/>
      <color theme="4" tint="-0.499984740745262"/>
      <name val="Garamond"/>
      <charset val="134"/>
      <scheme val="minor"/>
    </font>
    <font>
      <sz val="11"/>
      <color theme="1"/>
      <name val="Garamond"/>
      <charset val="0"/>
      <scheme val="minor"/>
    </font>
    <font>
      <sz val="11"/>
      <color theme="2" tint="-0.749992370372631"/>
      <name val="Garamond"/>
      <charset val="134"/>
      <scheme val="minor"/>
    </font>
  </fonts>
  <fills count="36">
    <fill>
      <patternFill patternType="none"/>
    </fill>
    <fill>
      <patternFill patternType="gray125"/>
    </fill>
    <fill>
      <patternFill patternType="solid">
        <fgColor theme="3"/>
        <bgColor indexed="64"/>
      </patternFill>
    </fill>
    <fill>
      <patternFill patternType="solid">
        <fgColor rgb="FFFFFFCC"/>
        <bgColor indexed="64"/>
      </patternFill>
    </fill>
    <fill>
      <patternFill patternType="solid">
        <fgColor theme="4" tint="-0.249946592608417"/>
        <bgColor indexed="64"/>
      </patternFill>
    </fill>
    <fill>
      <patternFill patternType="solid">
        <fgColor theme="4" tint="0.799981688894314"/>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theme="2" tint="-0.899960325937681"/>
      </left>
      <right style="thin">
        <color theme="2" tint="-0.899960325937681"/>
      </right>
      <top style="thin">
        <color theme="2" tint="-0.899960325937681"/>
      </top>
      <bottom style="thin">
        <color theme="2" tint="-0.899960325937681"/>
      </bottom>
      <diagonal/>
    </border>
    <border>
      <left style="thin">
        <color rgb="FFB2B2B2"/>
      </left>
      <right style="thin">
        <color rgb="FFB2B2B2"/>
      </right>
      <top style="thin">
        <color rgb="FFB2B2B2"/>
      </top>
      <bottom style="thin">
        <color rgb="FFB2B2B2"/>
      </bottom>
      <diagonal/>
    </border>
    <border>
      <left/>
      <right/>
      <top/>
      <bottom style="thick">
        <color theme="4" tint="0.599963377788629"/>
      </bottom>
      <diagonal/>
    </border>
    <border>
      <left style="thin">
        <color theme="4"/>
      </left>
      <right style="thin">
        <color theme="4"/>
      </right>
      <top style="thin">
        <color theme="4"/>
      </top>
      <bottom style="thin">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2">
    <xf numFmtId="0" fontId="0" fillId="0" borderId="0" applyFill="0" applyBorder="0">
      <alignment horizontal="left" vertical="center" wrapText="1" indent="1"/>
    </xf>
    <xf numFmtId="176" fontId="14" fillId="0" borderId="0" applyFont="0" applyFill="0" applyBorder="0" applyAlignment="0" applyProtection="0">
      <alignment vertical="center"/>
    </xf>
    <xf numFmtId="44" fontId="0" fillId="0" borderId="0" applyFont="0" applyFill="0" applyBorder="0" applyProtection="0">
      <alignment horizontal="right" vertical="center"/>
    </xf>
    <xf numFmtId="10" fontId="15" fillId="0" borderId="0" applyFill="0" applyBorder="0" applyProtection="0">
      <alignment horizontal="right" vertical="center"/>
    </xf>
    <xf numFmtId="177" fontId="14" fillId="0" borderId="0" applyFont="0" applyFill="0" applyBorder="0" applyAlignment="0" applyProtection="0">
      <alignment vertical="center"/>
    </xf>
    <xf numFmtId="44" fontId="15" fillId="0" borderId="0" applyFill="0" applyBorder="0" applyProtection="0">
      <alignment horizontal="right" vertical="center"/>
    </xf>
    <xf numFmtId="0" fontId="16" fillId="0" borderId="0" applyNumberFormat="0" applyFill="0" applyBorder="0" applyAlignment="0" applyProtection="0"/>
    <xf numFmtId="0" fontId="16" fillId="0" borderId="0" applyNumberFormat="0" applyFill="0" applyBorder="0" applyAlignment="0" applyProtection="0">
      <alignment vertical="top" wrapText="1"/>
    </xf>
    <xf numFmtId="0" fontId="14" fillId="3" borderId="2" applyNumberFormat="0" applyFont="0" applyAlignment="0" applyProtection="0">
      <alignment vertical="center"/>
    </xf>
    <xf numFmtId="0" fontId="17" fillId="0" borderId="0" applyNumberFormat="0" applyFill="0" applyBorder="0" applyAlignment="0" applyProtection="0"/>
    <xf numFmtId="0" fontId="18" fillId="4" borderId="3" applyProtection="0">
      <alignment vertical="center"/>
    </xf>
    <xf numFmtId="0" fontId="19" fillId="0" borderId="0" applyNumberFormat="0" applyFill="0" applyBorder="0" applyAlignment="0" applyProtection="0"/>
    <xf numFmtId="0" fontId="20" fillId="0" borderId="0" applyNumberFormat="0" applyFill="0" applyBorder="0" applyProtection="0">
      <alignment vertical="center"/>
    </xf>
    <xf numFmtId="0" fontId="21" fillId="0" borderId="0" applyNumberFormat="0" applyFill="0" applyBorder="0" applyProtection="0">
      <alignment horizontal="left" vertical="center" indent="1"/>
    </xf>
    <xf numFmtId="0" fontId="22" fillId="0" borderId="4" applyFill="0" applyProtection="0">
      <alignment horizontal="right" vertical="center" indent="1"/>
    </xf>
    <xf numFmtId="0" fontId="16" fillId="5" borderId="0" applyBorder="0" applyProtection="0">
      <alignment horizontal="left" indent="1"/>
    </xf>
    <xf numFmtId="0" fontId="23" fillId="6" borderId="5" applyNumberFormat="0" applyAlignment="0" applyProtection="0">
      <alignment vertical="center"/>
    </xf>
    <xf numFmtId="0" fontId="24" fillId="7" borderId="6" applyNumberFormat="0" applyAlignment="0" applyProtection="0">
      <alignment vertical="center"/>
    </xf>
    <xf numFmtId="0" fontId="25" fillId="7" borderId="5" applyNumberFormat="0" applyAlignment="0" applyProtection="0">
      <alignment vertical="center"/>
    </xf>
    <xf numFmtId="0" fontId="26" fillId="8" borderId="7" applyNumberFormat="0" applyAlignment="0" applyProtection="0">
      <alignment vertical="center"/>
    </xf>
    <xf numFmtId="0" fontId="27" fillId="0" borderId="8" applyNumberFormat="0" applyFill="0" applyAlignment="0" applyProtection="0">
      <alignment vertical="center"/>
    </xf>
    <xf numFmtId="0" fontId="28" fillId="0" borderId="4" applyNumberFormat="0" applyAlignment="0" applyProtection="0"/>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Protection="0">
      <alignment horizontal="left" vertical="top" wrapText="1" indent="1"/>
    </xf>
    <xf numFmtId="0" fontId="34" fillId="14" borderId="0" applyNumberFormat="0" applyBorder="0" applyAlignment="0" applyProtection="0">
      <alignment vertical="center"/>
    </xf>
    <xf numFmtId="0" fontId="16" fillId="15" borderId="0" applyNumberFormat="0" applyBorder="0" applyProtection="0">
      <alignment vertical="center" wrapText="1"/>
    </xf>
    <xf numFmtId="0" fontId="32"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2" fillId="35" borderId="0" applyNumberFormat="0" applyBorder="0" applyAlignment="0" applyProtection="0">
      <alignment vertical="center"/>
    </xf>
    <xf numFmtId="58" fontId="35" fillId="0" borderId="0" applyFont="0" applyFill="0" applyBorder="0" applyAlignment="0" applyProtection="0">
      <alignment horizontal="left" wrapText="1"/>
    </xf>
    <xf numFmtId="178" fontId="16" fillId="0" borderId="0" applyFont="0" applyFill="0" applyBorder="0" applyAlignment="0">
      <alignment vertical="center"/>
    </xf>
    <xf numFmtId="179" fontId="0" fillId="0" borderId="0" applyFont="0" applyFill="0" applyBorder="0">
      <alignment horizontal="right" vertical="center"/>
    </xf>
  </cellStyleXfs>
  <cellXfs count="60">
    <xf numFmtId="0" fontId="0" fillId="0" borderId="0" xfId="0">
      <alignment horizontal="left" vertical="center" wrapText="1" indent="1"/>
    </xf>
    <xf numFmtId="0" fontId="1" fillId="0" borderId="0" xfId="0" applyFont="1">
      <alignment horizontal="left" vertical="center" wrapText="1" indent="1"/>
    </xf>
    <xf numFmtId="0" fontId="1" fillId="2" borderId="0" xfId="0" applyFont="1" applyFill="1">
      <alignment horizontal="left" vertical="center" wrapText="1" indent="1"/>
    </xf>
    <xf numFmtId="0" fontId="2" fillId="2" borderId="0" xfId="10" applyFont="1" applyFill="1" applyBorder="1" applyProtection="1">
      <alignment vertical="center"/>
    </xf>
    <xf numFmtId="0" fontId="3" fillId="2" borderId="0" xfId="10" applyFont="1" applyFill="1" applyBorder="1" applyAlignment="1" applyProtection="1">
      <alignment horizontal="left"/>
    </xf>
    <xf numFmtId="0" fontId="4" fillId="2" borderId="0" xfId="10" applyFont="1" applyFill="1" applyBorder="1" applyAlignment="1" applyProtection="1">
      <alignment horizontal="left" vertical="center" indent="2"/>
    </xf>
    <xf numFmtId="0" fontId="5" fillId="2" borderId="0" xfId="10" applyFont="1" applyFill="1" applyBorder="1" applyAlignment="1" applyProtection="1">
      <alignment horizontal="right"/>
    </xf>
    <xf numFmtId="0" fontId="6" fillId="2" borderId="0" xfId="10" applyFont="1" applyFill="1" applyBorder="1" applyAlignment="1" applyProtection="1">
      <alignment horizontal="right"/>
    </xf>
    <xf numFmtId="0" fontId="7" fillId="2" borderId="0" xfId="10" applyFont="1" applyFill="1" applyBorder="1" applyAlignment="1" applyProtection="1">
      <alignment vertical="top" wrapText="1"/>
    </xf>
    <xf numFmtId="0" fontId="8" fillId="2" borderId="0" xfId="28" applyFont="1" applyFill="1" applyAlignment="1">
      <alignment vertical="center"/>
    </xf>
    <xf numFmtId="0" fontId="9" fillId="2" borderId="0" xfId="28" applyFont="1" applyFill="1" applyBorder="1" applyAlignment="1">
      <alignment horizontal="left" vertical="center" wrapText="1"/>
    </xf>
    <xf numFmtId="178" fontId="8" fillId="2" borderId="0" xfId="50" applyFont="1" applyFill="1" applyAlignment="1">
      <alignment vertical="center" wrapText="1"/>
    </xf>
    <xf numFmtId="0" fontId="4" fillId="2" borderId="0" xfId="6" applyFont="1" applyFill="1" applyAlignment="1">
      <alignment horizontal="right" vertical="center" wrapText="1" indent="2"/>
    </xf>
    <xf numFmtId="0" fontId="10" fillId="2" borderId="0" xfId="28" applyFont="1" applyFill="1" applyAlignment="1">
      <alignment horizontal="left" vertical="center" wrapText="1"/>
    </xf>
    <xf numFmtId="0" fontId="8" fillId="2" borderId="0" xfId="28" applyFont="1" applyFill="1" applyProtection="1">
      <alignment vertical="center" wrapText="1"/>
    </xf>
    <xf numFmtId="0" fontId="11" fillId="2" borderId="0" xfId="28" applyFont="1" applyFill="1" applyBorder="1">
      <alignment vertical="center" wrapText="1"/>
    </xf>
    <xf numFmtId="178" fontId="8" fillId="2" borderId="0" xfId="50" applyFont="1" applyFill="1" applyBorder="1" applyAlignment="1">
      <alignment vertical="center" wrapText="1"/>
    </xf>
    <xf numFmtId="0" fontId="4" fillId="2" borderId="0" xfId="6" applyFont="1" applyFill="1" applyBorder="1" applyAlignment="1">
      <alignment horizontal="right" vertical="center" wrapText="1" indent="2"/>
    </xf>
    <xf numFmtId="58" fontId="10" fillId="2" borderId="0" xfId="28" applyNumberFormat="1" applyFont="1" applyFill="1" applyBorder="1" applyAlignment="1">
      <alignment horizontal="left" vertical="center" wrapText="1"/>
    </xf>
    <xf numFmtId="0" fontId="10" fillId="2" borderId="0" xfId="12" applyFont="1" applyFill="1" applyBorder="1" applyProtection="1">
      <alignment vertical="center"/>
    </xf>
    <xf numFmtId="0" fontId="10" fillId="2" borderId="0" xfId="0" applyFont="1" applyFill="1" applyBorder="1">
      <alignment horizontal="left" vertical="center" wrapText="1" indent="1"/>
    </xf>
    <xf numFmtId="0" fontId="1" fillId="2" borderId="0" xfId="0" applyFont="1" applyFill="1" applyBorder="1">
      <alignment horizontal="left" vertical="center" wrapText="1" indent="1"/>
    </xf>
    <xf numFmtId="0" fontId="4" fillId="2" borderId="0" xfId="0" applyFont="1" applyFill="1" applyBorder="1" applyAlignment="1">
      <alignment horizontal="right" vertical="center" wrapText="1" indent="2"/>
    </xf>
    <xf numFmtId="58" fontId="10" fillId="2" borderId="0" xfId="0" applyNumberFormat="1" applyFont="1" applyFill="1" applyBorder="1" applyAlignment="1">
      <alignment horizontal="left" vertical="center" wrapText="1"/>
    </xf>
    <xf numFmtId="0" fontId="12" fillId="2" borderId="0" xfId="0" applyFont="1" applyFill="1">
      <alignment horizontal="left" vertical="center" wrapText="1" indent="1"/>
    </xf>
    <xf numFmtId="0" fontId="10" fillId="2" borderId="0" xfId="28" applyFont="1" applyFill="1" applyAlignment="1">
      <alignment vertical="center"/>
    </xf>
    <xf numFmtId="0" fontId="4" fillId="2" borderId="0" xfId="6" applyFont="1" applyFill="1" applyAlignment="1">
      <alignment vertical="center" wrapText="1"/>
    </xf>
    <xf numFmtId="0" fontId="10" fillId="2" borderId="0" xfId="28" applyFont="1" applyFill="1">
      <alignment vertical="center" wrapText="1"/>
    </xf>
    <xf numFmtId="0" fontId="10" fillId="2" borderId="0" xfId="12" applyFont="1" applyFill="1" applyAlignment="1" applyProtection="1">
      <alignment horizontal="left" vertical="top" indent="1"/>
    </xf>
    <xf numFmtId="178" fontId="10" fillId="2" borderId="0" xfId="12" applyNumberFormat="1" applyFont="1" applyFill="1">
      <alignment vertical="center"/>
    </xf>
    <xf numFmtId="0" fontId="4" fillId="2" borderId="0" xfId="0" applyFont="1" applyFill="1" applyAlignment="1">
      <alignment horizontal="right" indent="2"/>
    </xf>
    <xf numFmtId="58" fontId="10" fillId="2" borderId="0" xfId="49" applyFont="1" applyFill="1" applyAlignment="1">
      <alignment vertical="center" wrapText="1"/>
    </xf>
    <xf numFmtId="0" fontId="12" fillId="2" borderId="0" xfId="0" applyFont="1" applyFill="1" applyAlignment="1">
      <alignment wrapText="1"/>
    </xf>
    <xf numFmtId="0" fontId="10" fillId="2" borderId="0" xfId="12" applyFont="1" applyFill="1" applyProtection="1">
      <alignment vertical="center"/>
    </xf>
    <xf numFmtId="0" fontId="4" fillId="2" borderId="0" xfId="0" applyFont="1" applyFill="1" applyAlignment="1">
      <alignment horizontal="right" wrapText="1" indent="2"/>
    </xf>
    <xf numFmtId="0" fontId="10" fillId="2" borderId="0" xfId="0" applyFont="1" applyFill="1" applyAlignment="1">
      <alignment horizontal="left" wrapText="1"/>
    </xf>
    <xf numFmtId="0" fontId="10" fillId="2" borderId="0" xfId="12" applyFont="1" applyFill="1" applyAlignment="1" applyProtection="1">
      <alignment vertical="top"/>
    </xf>
    <xf numFmtId="58" fontId="10" fillId="2" borderId="0" xfId="49" applyFont="1" applyFill="1" applyAlignment="1">
      <alignment vertical="center"/>
    </xf>
    <xf numFmtId="0" fontId="10" fillId="2" borderId="0" xfId="0" applyFont="1" applyFill="1" applyAlignment="1">
      <alignment wrapText="1"/>
    </xf>
    <xf numFmtId="0" fontId="10" fillId="2" borderId="0" xfId="6" applyFont="1" applyFill="1" applyAlignment="1" applyProtection="1">
      <alignment horizontal="left" vertical="center" indent="1"/>
    </xf>
    <xf numFmtId="0" fontId="10" fillId="2" borderId="0" xfId="0" applyFont="1" applyFill="1" applyAlignment="1">
      <alignment vertical="center" wrapText="1"/>
    </xf>
    <xf numFmtId="0" fontId="10" fillId="2" borderId="0" xfId="6" applyFont="1" applyFill="1" applyAlignment="1" applyProtection="1">
      <alignment horizontal="left" vertical="top" indent="1"/>
    </xf>
    <xf numFmtId="0" fontId="13" fillId="0" borderId="0" xfId="0" applyFont="1" applyFill="1" applyBorder="1">
      <alignment horizontal="left" vertical="center" wrapText="1" indent="1"/>
    </xf>
    <xf numFmtId="0" fontId="13" fillId="0" borderId="0" xfId="0" applyFont="1" applyFill="1" applyBorder="1" applyAlignment="1">
      <alignment horizontal="right" vertical="center" wrapText="1" indent="1"/>
    </xf>
    <xf numFmtId="0" fontId="12" fillId="2" borderId="0" xfId="0" applyFont="1" applyFill="1" applyAlignment="1">
      <alignment vertical="center"/>
    </xf>
    <xf numFmtId="179" fontId="13" fillId="0" borderId="0" xfId="51" applyFont="1" applyFill="1" applyBorder="1" applyAlignment="1">
      <alignment horizontal="right" vertical="center" indent="1"/>
    </xf>
    <xf numFmtId="180" fontId="13" fillId="0" borderId="0" xfId="2" applyNumberFormat="1" applyFont="1" applyFill="1" applyBorder="1" applyAlignment="1" applyProtection="1">
      <alignment horizontal="right" vertical="center" indent="1"/>
    </xf>
    <xf numFmtId="180" fontId="13" fillId="0" borderId="0" xfId="2" applyNumberFormat="1" applyFont="1" applyFill="1" applyBorder="1" applyAlignment="1" applyProtection="1">
      <alignment horizontal="right" vertical="center" indent="2"/>
    </xf>
    <xf numFmtId="180" fontId="13" fillId="0" borderId="0" xfId="2" applyNumberFormat="1" applyFont="1" applyFill="1" applyBorder="1" applyProtection="1">
      <alignment horizontal="right" vertical="center"/>
    </xf>
    <xf numFmtId="0" fontId="10" fillId="2" borderId="0" xfId="0" applyFont="1" applyFill="1">
      <alignment horizontal="left" vertical="center" wrapText="1" indent="1"/>
    </xf>
    <xf numFmtId="0" fontId="10" fillId="2" borderId="1" xfId="14" applyFont="1" applyFill="1" applyBorder="1">
      <alignment horizontal="right" vertical="center" indent="1"/>
    </xf>
    <xf numFmtId="180" fontId="10" fillId="2" borderId="1" xfId="2" applyNumberFormat="1" applyFont="1" applyFill="1" applyBorder="1" applyAlignment="1">
      <alignment horizontal="right" vertical="center" indent="1"/>
    </xf>
    <xf numFmtId="10" fontId="10" fillId="2" borderId="1" xfId="3" applyFont="1" applyFill="1" applyBorder="1" applyAlignment="1">
      <alignment horizontal="right" vertical="center" indent="1"/>
    </xf>
    <xf numFmtId="0" fontId="10" fillId="2" borderId="0" xfId="15" applyFont="1" applyFill="1" applyAlignment="1" applyProtection="1"/>
    <xf numFmtId="0" fontId="10" fillId="2" borderId="0" xfId="15" applyFont="1" applyFill="1" applyBorder="1" applyAlignment="1" applyProtection="1"/>
    <xf numFmtId="0" fontId="10" fillId="2" borderId="0" xfId="26" applyFont="1" applyFill="1" applyAlignment="1">
      <alignment vertical="top" wrapText="1"/>
    </xf>
    <xf numFmtId="0" fontId="10" fillId="2" borderId="0" xfId="26" applyFont="1" applyFill="1" applyBorder="1" applyAlignment="1">
      <alignment vertical="top" wrapText="1"/>
    </xf>
    <xf numFmtId="181" fontId="4" fillId="2" borderId="1" xfId="21" applyNumberFormat="1" applyFont="1" applyFill="1" applyBorder="1" applyAlignment="1" applyProtection="1">
      <alignment horizontal="right" vertical="center"/>
    </xf>
    <xf numFmtId="180" fontId="10" fillId="2" borderId="1" xfId="2" applyNumberFormat="1" applyFont="1" applyFill="1" applyBorder="1" applyAlignment="1" applyProtection="1">
      <alignment horizontal="right" vertical="center" indent="1"/>
    </xf>
    <xf numFmtId="0" fontId="10" fillId="2" borderId="0" xfId="0" applyFont="1" applyFill="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Date" xfId="49"/>
    <cellStyle name="Phone" xfId="50"/>
    <cellStyle name="Quantity" xfId="51"/>
  </cellStyles>
  <dxfs count="10">
    <dxf>
      <font>
        <name val="Garamond"/>
        <scheme val="none"/>
        <family val="2"/>
        <strike val="0"/>
        <u val="none"/>
        <sz val="12"/>
        <color theme="2" tint="-0.749961851863155"/>
      </font>
    </dxf>
    <dxf>
      <font>
        <name val="Garamond"/>
        <scheme val="none"/>
        <family val="2"/>
        <strike val="0"/>
        <u val="none"/>
        <sz val="12"/>
        <color theme="2" tint="-0.749961851863155"/>
      </font>
    </dxf>
    <dxf>
      <font>
        <name val="Garamond"/>
        <scheme val="none"/>
        <family val="2"/>
        <strike val="0"/>
        <u val="none"/>
        <sz val="12"/>
        <color theme="2" tint="-0.749961851863155"/>
      </font>
    </dxf>
    <dxf>
      <font>
        <name val="Garamond"/>
        <scheme val="none"/>
        <family val="2"/>
        <strike val="0"/>
        <u val="none"/>
        <sz val="12"/>
        <color theme="2" tint="-0.749961851863155"/>
      </font>
    </dxf>
    <dxf>
      <font>
        <name val="Garamond"/>
        <scheme val="none"/>
        <family val="2"/>
        <strike val="0"/>
        <u val="none"/>
        <sz val="12"/>
        <color theme="2" tint="-0.749961851863155"/>
      </font>
    </dxf>
    <dxf>
      <font>
        <name val="Garamond"/>
        <scheme val="none"/>
        <family val="2"/>
        <strike val="0"/>
        <u val="none"/>
        <sz val="12"/>
        <color theme="2" tint="-0.749961851863155"/>
      </font>
    </dxf>
    <dxf>
      <font>
        <b val="1"/>
        <i val="0"/>
      </font>
    </dxf>
    <dxf>
      <font>
        <b val="1"/>
        <i val="0"/>
        <color theme="4" tint="-0.499984740745262"/>
      </font>
      <border>
        <left style="thin">
          <color theme="4"/>
        </left>
        <right style="thin">
          <color theme="4"/>
        </right>
        <top style="double">
          <color theme="4"/>
        </top>
        <bottom style="thin">
          <color theme="4"/>
        </bottom>
      </border>
    </dxf>
    <dxf>
      <font>
        <b val="1"/>
        <i val="0"/>
        <strike val="0"/>
        <color theme="2"/>
      </font>
      <fill>
        <patternFill patternType="solid">
          <bgColor theme="1"/>
        </patternFill>
      </fill>
      <border>
        <left style="thin">
          <color theme="1"/>
        </left>
        <right style="thin">
          <color theme="1"/>
        </right>
        <top style="thin">
          <color theme="1"/>
        </top>
        <bottom style="thin">
          <color theme="1"/>
        </bottom>
        <vertical/>
        <horizontal/>
      </border>
    </dxf>
    <dxf>
      <font>
        <b val="0"/>
        <i val="0"/>
        <color auto="1"/>
      </font>
      <fill>
        <patternFill patternType="solid">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275115BE-33A0-4F68-B794-D59BF7D65BEB}">
      <tableStyleElement type="wholeTable" dxfId="9"/>
      <tableStyleElement type="headerRow" dxfId="8"/>
      <tableStyleElement type="totalRow" dxfId="7"/>
      <tableStyleElement type="firstColumn"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1504</xdr:colOff>
      <xdr:row>1</xdr:row>
      <xdr:rowOff>95488</xdr:rowOff>
    </xdr:from>
    <xdr:to>
      <xdr:col>2</xdr:col>
      <xdr:colOff>91420</xdr:colOff>
      <xdr:row>5</xdr:row>
      <xdr:rowOff>4048</xdr:rowOff>
    </xdr:to>
    <xdr:pic>
      <xdr:nvPicPr>
        <xdr:cNvPr id="3" name="Graphic 2" descr="Logo placeholder. Replace this image with your company logo."/>
        <xdr:cNvPicPr/>
      </xdr:nvPicPr>
      <xdr:blipFill>
        <a:blip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3720" y="731520"/>
          <a:ext cx="1327785" cy="1252220"/>
        </a:xfrm>
        <a:prstGeom prst="rect">
          <a:avLst/>
        </a:prstGeom>
      </xdr:spPr>
    </xdr:pic>
    <xdr:clientData/>
  </xdr:twoCellAnchor>
</xdr:wsDr>
</file>

<file path=xl/tables/table1.xml><?xml version="1.0" encoding="utf-8"?>
<table xmlns="http://schemas.openxmlformats.org/spreadsheetml/2006/main" id="4" name="SimpleInvoice" displayName="SimpleInvoice" ref="B13:G21" totalsRowShown="0">
  <autoFilter xmlns:etc="http://www.wps.cn/officeDocument/2017/etCustomData" ref="B13:G21" etc:filterBottomFollowUsedRange="0">
    <filterColumn colId="0" hiddenButton="1"/>
    <filterColumn colId="1" hiddenButton="1"/>
    <filterColumn colId="2" hiddenButton="1"/>
    <filterColumn colId="3" hiddenButton="1"/>
    <filterColumn colId="4" hiddenButton="1"/>
    <filterColumn colId="5" hiddenButton="1"/>
  </autoFilter>
  <tableColumns count="6">
    <tableColumn id="1" name="Item #" dataDxfId="0"/>
    <tableColumn id="2" name="Description" dataDxfId="1"/>
    <tableColumn id="7" name="Qty" dataDxfId="2"/>
    <tableColumn id="8" name="Unit price" dataDxfId="3"/>
    <tableColumn id="10" name="Discount" dataDxfId="4"/>
    <tableColumn id="11" name="Price" dataDxfId="5">
      <calculatedColumnFormula>IFERROR(IF(SimpleInvoice[[#This Row],[Unit price]]="","",(SimpleInvoice[[#This Row],[Qty]]*SimpleInvoice[[#This Row],[Unit price]])-SimpleInvoice[[#This Row],[Discount]]),"")</calculatedColumnFormula>
    </tableColumn>
  </tableColumns>
  <tableStyleInfo name="Invoice" showFirstColumn="1" showLastColumn="0" showRowStripes="0" showColumnStripes="0"/>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elegantembrace@example.com" TargetMode="Externa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499984740745262"/>
    <pageSetUpPr fitToPage="1" autoPageBreaks="0"/>
  </sheetPr>
  <dimension ref="A1:H31"/>
  <sheetViews>
    <sheetView showGridLines="0" tabSelected="1" workbookViewId="0">
      <selection activeCell="B10" sqref="B10"/>
    </sheetView>
  </sheetViews>
  <sheetFormatPr defaultColWidth="9" defaultRowHeight="33.95" customHeight="1" outlineLevelCol="7"/>
  <cols>
    <col min="1" max="1" width="8.28571428571429" style="1" customWidth="1"/>
    <col min="2" max="2" width="18.5714285714286" style="1" customWidth="1"/>
    <col min="3" max="3" width="25" style="1" customWidth="1"/>
    <col min="4" max="5" width="18.5714285714286" style="1" customWidth="1"/>
    <col min="6" max="6" width="20.1428571428571" style="1" customWidth="1"/>
    <col min="7" max="7" width="18.5714285714286" style="1" customWidth="1"/>
    <col min="8" max="8" width="8.28571428571429" style="1" customWidth="1"/>
    <col min="9" max="16384" width="9" style="1"/>
  </cols>
  <sheetData>
    <row r="1" ht="50.1" customHeight="1" spans="1:8">
      <c r="A1" s="2"/>
      <c r="B1" s="2"/>
      <c r="C1" s="2"/>
      <c r="D1" s="2"/>
      <c r="E1" s="2"/>
      <c r="F1" s="2"/>
      <c r="G1" s="2"/>
      <c r="H1" s="2"/>
    </row>
    <row r="2" ht="57.95" customHeight="1" spans="1:8">
      <c r="A2" s="2"/>
      <c r="B2" s="3"/>
      <c r="C2" s="4" t="s">
        <v>0</v>
      </c>
      <c r="D2" s="4"/>
      <c r="E2" s="5"/>
      <c r="F2" s="6"/>
      <c r="G2" s="7" t="s">
        <v>1</v>
      </c>
      <c r="H2" s="8"/>
    </row>
    <row r="3" ht="15.95" customHeight="1" spans="1:8">
      <c r="A3" s="2"/>
      <c r="B3" s="9"/>
      <c r="C3" s="10" t="s">
        <v>2</v>
      </c>
      <c r="D3" s="10"/>
      <c r="E3" s="11"/>
      <c r="F3" s="12" t="s">
        <v>3</v>
      </c>
      <c r="G3" s="13">
        <v>10654</v>
      </c>
      <c r="H3" s="14"/>
    </row>
    <row r="4" ht="15.95" customHeight="1" spans="1:8">
      <c r="A4" s="2"/>
      <c r="B4" s="15" t="s">
        <v>4</v>
      </c>
      <c r="C4" s="10"/>
      <c r="D4" s="10"/>
      <c r="E4" s="16"/>
      <c r="F4" s="17" t="s">
        <v>5</v>
      </c>
      <c r="G4" s="18">
        <f ca="1">TODAY()</f>
        <v>46257</v>
      </c>
      <c r="H4" s="14"/>
    </row>
    <row r="5" ht="15.95" customHeight="1" spans="1:8">
      <c r="A5" s="2"/>
      <c r="B5" s="19"/>
      <c r="C5" s="20"/>
      <c r="D5" s="20"/>
      <c r="E5" s="21"/>
      <c r="F5" s="22" t="s">
        <v>6</v>
      </c>
      <c r="G5" s="23" t="s">
        <v>7</v>
      </c>
      <c r="H5" s="24"/>
    </row>
    <row r="6" ht="60" customHeight="1" spans="1:8">
      <c r="A6" s="2"/>
      <c r="B6" s="25"/>
      <c r="C6" s="25"/>
      <c r="D6" s="11"/>
      <c r="E6" s="11"/>
      <c r="F6" s="26"/>
      <c r="G6" s="27"/>
      <c r="H6" s="14"/>
    </row>
    <row r="7" ht="15.95" customHeight="1" spans="1:8">
      <c r="A7" s="2"/>
      <c r="B7" s="28" t="s">
        <v>8</v>
      </c>
      <c r="C7" s="28"/>
      <c r="D7" s="29"/>
      <c r="E7" s="29"/>
      <c r="F7" s="30" t="s">
        <v>9</v>
      </c>
      <c r="G7" s="31" t="s">
        <v>10</v>
      </c>
      <c r="H7" s="32"/>
    </row>
    <row r="8" ht="15.95" customHeight="1" spans="1:8">
      <c r="A8" s="2"/>
      <c r="B8" s="28" t="s">
        <v>11</v>
      </c>
      <c r="C8" s="28"/>
      <c r="D8" s="33"/>
      <c r="E8" s="33"/>
      <c r="F8" s="34" t="s">
        <v>12</v>
      </c>
      <c r="G8" s="35" t="s">
        <v>13</v>
      </c>
      <c r="H8" s="32"/>
    </row>
    <row r="9" ht="15.95" customHeight="1" spans="1:8">
      <c r="A9" s="2"/>
      <c r="B9" s="28" t="s">
        <v>14</v>
      </c>
      <c r="C9" s="36"/>
      <c r="D9" s="29"/>
      <c r="E9" s="29"/>
      <c r="F9" s="30"/>
      <c r="G9" s="37" t="s">
        <v>15</v>
      </c>
      <c r="H9" s="32"/>
    </row>
    <row r="10" ht="15.95" customHeight="1" spans="1:8">
      <c r="A10" s="2"/>
      <c r="B10" s="28" t="s">
        <v>16</v>
      </c>
      <c r="C10" s="28"/>
      <c r="D10" s="33"/>
      <c r="E10" s="33"/>
      <c r="F10" s="34" t="s">
        <v>17</v>
      </c>
      <c r="G10" s="38" t="s">
        <v>18</v>
      </c>
      <c r="H10" s="32"/>
    </row>
    <row r="11" ht="15.95" customHeight="1" spans="1:8">
      <c r="A11" s="2"/>
      <c r="B11" s="39" t="s">
        <v>19</v>
      </c>
      <c r="C11" s="33"/>
      <c r="D11" s="29"/>
      <c r="E11" s="29"/>
      <c r="F11" s="30" t="s">
        <v>20</v>
      </c>
      <c r="G11" s="40" t="s">
        <v>21</v>
      </c>
      <c r="H11" s="32"/>
    </row>
    <row r="12" ht="60.95" customHeight="1" spans="1:8">
      <c r="A12" s="2"/>
      <c r="B12" s="41"/>
      <c r="C12" s="20"/>
      <c r="D12" s="20"/>
      <c r="E12" s="20"/>
      <c r="F12" s="20"/>
      <c r="G12" s="20"/>
      <c r="H12" s="24"/>
    </row>
    <row r="13" ht="26.1" customHeight="1" spans="1:8">
      <c r="A13" s="2"/>
      <c r="B13" s="42" t="s">
        <v>22</v>
      </c>
      <c r="C13" s="42" t="s">
        <v>23</v>
      </c>
      <c r="D13" s="43" t="s">
        <v>24</v>
      </c>
      <c r="E13" s="43" t="s">
        <v>25</v>
      </c>
      <c r="F13" s="43" t="s">
        <v>26</v>
      </c>
      <c r="G13" s="43" t="s">
        <v>27</v>
      </c>
      <c r="H13" s="44"/>
    </row>
    <row r="14" ht="26.1" customHeight="1" spans="1:8">
      <c r="A14" s="2"/>
      <c r="B14" s="42" t="s">
        <v>28</v>
      </c>
      <c r="C14" s="42" t="s">
        <v>29</v>
      </c>
      <c r="D14" s="45">
        <v>35</v>
      </c>
      <c r="E14" s="46">
        <v>1.05</v>
      </c>
      <c r="F14" s="46"/>
      <c r="G14" s="46">
        <f>IFERROR(IF(SimpleInvoice[[#This Row],[Unit price]]="","",(SimpleInvoice[[#This Row],[Qty]]*SimpleInvoice[[#This Row],[Unit price]])-SimpleInvoice[[#This Row],[Discount]]),"")</f>
        <v>36.75</v>
      </c>
      <c r="H14" s="44"/>
    </row>
    <row r="15" ht="26.1" customHeight="1" spans="1:8">
      <c r="A15" s="2"/>
      <c r="B15" s="42" t="s">
        <v>30</v>
      </c>
      <c r="C15" s="42" t="s">
        <v>31</v>
      </c>
      <c r="D15" s="45">
        <v>25</v>
      </c>
      <c r="E15" s="46">
        <v>2</v>
      </c>
      <c r="F15" s="46"/>
      <c r="G15" s="46">
        <f>IFERROR(IF(SimpleInvoice[[#This Row],[Unit price]]="","",(SimpleInvoice[[#This Row],[Qty]]*SimpleInvoice[[#This Row],[Unit price]])-SimpleInvoice[[#This Row],[Discount]]),"")</f>
        <v>50</v>
      </c>
      <c r="H15" s="44"/>
    </row>
    <row r="16" ht="26.1" customHeight="1" spans="1:8">
      <c r="A16" s="2"/>
      <c r="B16" s="42" t="s">
        <v>32</v>
      </c>
      <c r="C16" s="42" t="s">
        <v>33</v>
      </c>
      <c r="D16" s="45">
        <v>30</v>
      </c>
      <c r="E16" s="46">
        <v>1.35</v>
      </c>
      <c r="F16" s="46"/>
      <c r="G16" s="46">
        <f>IFERROR(IF(SimpleInvoice[[#This Row],[Unit price]]="","",(SimpleInvoice[[#This Row],[Qty]]*SimpleInvoice[[#This Row],[Unit price]])-SimpleInvoice[[#This Row],[Discount]]),"")</f>
        <v>40.5</v>
      </c>
      <c r="H16" s="44"/>
    </row>
    <row r="17" ht="26.1" customHeight="1" spans="1:8">
      <c r="A17" s="2"/>
      <c r="B17" s="42"/>
      <c r="C17" s="42"/>
      <c r="D17" s="45"/>
      <c r="E17" s="47"/>
      <c r="F17" s="48"/>
      <c r="G17" s="47" t="str">
        <f>IFERROR(IF(SimpleInvoice[[#This Row],[Unit price]]="","",(SimpleInvoice[[#This Row],[Qty]]*SimpleInvoice[[#This Row],[Unit price]])-SimpleInvoice[[#This Row],[Discount]]),"")</f>
        <v/>
      </c>
      <c r="H17" s="44"/>
    </row>
    <row r="18" ht="26.1" customHeight="1" spans="1:8">
      <c r="A18" s="2"/>
      <c r="B18" s="42"/>
      <c r="C18" s="42"/>
      <c r="D18" s="45"/>
      <c r="E18" s="47"/>
      <c r="F18" s="48"/>
      <c r="G18" s="47" t="str">
        <f>IFERROR(IF(SimpleInvoice[[#This Row],[Unit price]]="","",(SimpleInvoice[[#This Row],[Qty]]*SimpleInvoice[[#This Row],[Unit price]])-SimpleInvoice[[#This Row],[Discount]]),"")</f>
        <v/>
      </c>
      <c r="H18" s="44"/>
    </row>
    <row r="19" ht="26.1" customHeight="1" spans="1:8">
      <c r="A19" s="2"/>
      <c r="B19" s="42"/>
      <c r="C19" s="42"/>
      <c r="D19" s="45"/>
      <c r="E19" s="47"/>
      <c r="F19" s="48"/>
      <c r="G19" s="47" t="str">
        <f>IFERROR(IF(SimpleInvoice[[#This Row],[Unit price]]="","",(SimpleInvoice[[#This Row],[Qty]]*SimpleInvoice[[#This Row],[Unit price]])-SimpleInvoice[[#This Row],[Discount]]),"")</f>
        <v/>
      </c>
      <c r="H19" s="44"/>
    </row>
    <row r="20" ht="26.1" customHeight="1" spans="1:8">
      <c r="A20" s="2"/>
      <c r="B20" s="42"/>
      <c r="C20" s="42"/>
      <c r="D20" s="45"/>
      <c r="E20" s="47"/>
      <c r="F20" s="48"/>
      <c r="G20" s="47" t="str">
        <f>IFERROR(IF(SimpleInvoice[[#This Row],[Unit price]]="","",(SimpleInvoice[[#This Row],[Qty]]*SimpleInvoice[[#This Row],[Unit price]])-SimpleInvoice[[#This Row],[Discount]]),"")</f>
        <v/>
      </c>
      <c r="H20" s="44"/>
    </row>
    <row r="21" ht="26.1" customHeight="1" spans="1:8">
      <c r="A21" s="2"/>
      <c r="B21" s="42"/>
      <c r="C21" s="42"/>
      <c r="D21" s="45"/>
      <c r="E21" s="47"/>
      <c r="F21" s="48"/>
      <c r="G21" s="47" t="str">
        <f>IFERROR(IF(SimpleInvoice[[#This Row],[Unit price]]="","",(SimpleInvoice[[#This Row],[Qty]]*SimpleInvoice[[#This Row],[Unit price]])-SimpleInvoice[[#This Row],[Discount]]),"")</f>
        <v/>
      </c>
      <c r="H21" s="44"/>
    </row>
    <row r="22" ht="26.1" customHeight="1" spans="1:8">
      <c r="A22" s="2"/>
      <c r="B22" s="49"/>
      <c r="C22" s="49"/>
      <c r="D22" s="20"/>
      <c r="E22" s="20"/>
      <c r="F22" s="50" t="s">
        <v>34</v>
      </c>
      <c r="G22" s="51">
        <f>SUM(SimpleInvoice[Price])</f>
        <v>127.25</v>
      </c>
      <c r="H22" s="44"/>
    </row>
    <row r="23" ht="26.1" customHeight="1" spans="1:8">
      <c r="A23" s="2"/>
      <c r="B23" s="49"/>
      <c r="C23" s="49"/>
      <c r="D23" s="20"/>
      <c r="E23" s="20"/>
      <c r="F23" s="50" t="s">
        <v>35</v>
      </c>
      <c r="G23" s="52">
        <v>0.06</v>
      </c>
      <c r="H23" s="44"/>
    </row>
    <row r="24" ht="26.1" customHeight="1" spans="1:8">
      <c r="A24" s="2"/>
      <c r="B24" s="49"/>
      <c r="C24" s="49"/>
      <c r="D24" s="20"/>
      <c r="E24" s="20"/>
      <c r="F24" s="50" t="s">
        <v>36</v>
      </c>
      <c r="G24" s="51">
        <f>IFERROR(G22*G23,"")</f>
        <v>7.635</v>
      </c>
      <c r="H24" s="44"/>
    </row>
    <row r="25" ht="26.1" customHeight="1" spans="1:8">
      <c r="A25" s="2"/>
      <c r="B25" s="53"/>
      <c r="C25" s="53"/>
      <c r="D25" s="53"/>
      <c r="E25" s="54"/>
      <c r="F25" s="50" t="s">
        <v>37</v>
      </c>
      <c r="G25" s="51">
        <v>50</v>
      </c>
      <c r="H25" s="44"/>
    </row>
    <row r="26" ht="26.1" customHeight="1" spans="1:8">
      <c r="A26" s="2"/>
      <c r="B26" s="55"/>
      <c r="C26" s="55"/>
      <c r="D26" s="55"/>
      <c r="E26" s="56"/>
      <c r="F26" s="57" t="s">
        <v>38</v>
      </c>
      <c r="G26" s="58">
        <f>SUM(G14:G16)-G25</f>
        <v>77.25</v>
      </c>
      <c r="H26" s="24"/>
    </row>
    <row r="27" ht="50.1" customHeight="1" spans="1:8">
      <c r="A27" s="2"/>
      <c r="B27" s="49"/>
      <c r="C27" s="49"/>
      <c r="D27" s="49"/>
      <c r="E27" s="49"/>
      <c r="F27" s="49"/>
      <c r="G27" s="49"/>
      <c r="H27" s="2"/>
    </row>
    <row r="28" ht="15" customHeight="1" spans="1:8">
      <c r="A28" s="2"/>
      <c r="B28" s="59" t="str">
        <f>"Please make all checks payable to "&amp;C2&amp;IF(C3="",""," "&amp;C3)&amp;"."</f>
        <v>Please make all checks payable to Elegant Embrace.</v>
      </c>
      <c r="C28" s="59"/>
      <c r="D28" s="59"/>
      <c r="E28" s="59"/>
      <c r="F28" s="59"/>
      <c r="G28" s="59"/>
      <c r="H28" s="2"/>
    </row>
    <row r="29" ht="15" customHeight="1" spans="1:8">
      <c r="A29" s="2"/>
      <c r="B29" s="59" t="s">
        <v>39</v>
      </c>
      <c r="C29" s="59"/>
      <c r="D29" s="59"/>
      <c r="E29" s="59"/>
      <c r="F29" s="59"/>
      <c r="G29" s="59"/>
      <c r="H29" s="2"/>
    </row>
    <row r="30" ht="15.95" customHeight="1" spans="1:8">
      <c r="A30" s="2"/>
      <c r="B30" s="59" t="s">
        <v>40</v>
      </c>
      <c r="C30" s="59"/>
      <c r="D30" s="59"/>
      <c r="E30" s="59"/>
      <c r="F30" s="59"/>
      <c r="G30" s="59"/>
      <c r="H30" s="2"/>
    </row>
    <row r="31" ht="59.1" customHeight="1" spans="1:8">
      <c r="A31" s="2"/>
      <c r="B31" s="2"/>
      <c r="C31" s="2"/>
      <c r="D31" s="2"/>
      <c r="E31" s="2"/>
      <c r="F31" s="2"/>
      <c r="G31" s="2"/>
      <c r="H31" s="2"/>
    </row>
  </sheetData>
  <sheetProtection selectLockedCells="1" formatCells="0" formatColumns="0" formatRows="0" sort="0"/>
  <mergeCells count="5">
    <mergeCell ref="C2:D2"/>
    <mergeCell ref="B28:G28"/>
    <mergeCell ref="B29:G29"/>
    <mergeCell ref="B30:G30"/>
    <mergeCell ref="C3:D4"/>
  </mergeCells>
  <dataValidations count="36">
    <dataValidation allowBlank="1" showInputMessage="1" showErrorMessage="1" prompt="Create a simple invoice in this worksheet" sqref="A1"/>
    <dataValidation allowBlank="1" showInputMessage="1" showErrorMessage="1" prompt="Modify company name in this cell and the cell below. Enter company address, phone, fax, and email in cells B7 to B11. Enter Billing details in cells G3 to G11." sqref="C2:D2"/>
    <dataValidation allowBlank="1" showInputMessage="1" showErrorMessage="1" prompt="Enter invoice # in the cell at right" sqref="F3"/>
    <dataValidation allowBlank="1" showInputMessage="1" showErrorMessage="1" prompt="Enter invoice # in this cell" sqref="G3"/>
    <dataValidation allowBlank="1" showInputMessage="1" showErrorMessage="1" prompt="Enter invoice date in the cell at right" sqref="F4"/>
    <dataValidation allowBlank="1" showInputMessage="1" showErrorMessage="1" prompt="Enter invoice date in this cell" sqref="G4"/>
    <dataValidation allowBlank="1" showInputMessage="1" showErrorMessage="1" prompt="Enter job type in the cell at right" sqref="F5"/>
    <dataValidation allowBlank="1" showInputMessage="1" showErrorMessage="1" prompt="Enter job type in this cell" sqref="G5"/>
    <dataValidation allowBlank="1" showInputMessage="1" showErrorMessage="1" prompt="Enter your company street address in this cell" sqref="B7"/>
    <dataValidation allowBlank="1" showInputMessage="1" showErrorMessage="1" prompt="Enter customer name in the cell at right" sqref="F7"/>
    <dataValidation allowBlank="1" showInputMessage="1" showErrorMessage="1" prompt="Enter customer name in this cell" sqref="G7"/>
    <dataValidation allowBlank="1" showInputMessage="1" showErrorMessage="1" prompt="Enter company's city, state, and ZIP in this cell" sqref="B8"/>
    <dataValidation allowBlank="1" showInputMessage="1" showErrorMessage="1" prompt="Enter customer address in the cell at right" sqref="F8"/>
    <dataValidation allowBlank="1" showInputMessage="1" showErrorMessage="1" prompt="Enter customer street address in this cell" sqref="G8"/>
    <dataValidation allowBlank="1" showInputMessage="1" showErrorMessage="1" prompt="Enter company phone number in this cell" sqref="B9"/>
    <dataValidation allowBlank="1" showInputMessage="1" showErrorMessage="1" prompt="Enter customer city, state, and ZIP in this cell" sqref="G9"/>
    <dataValidation allowBlank="1" showInputMessage="1" showErrorMessage="1" prompt="Enter company fax number in this cell" sqref="B10"/>
    <dataValidation allowBlank="1" showInputMessage="1" showErrorMessage="1" prompt="Enter customer phone number in the cell at right" sqref="F10"/>
    <dataValidation allowBlank="1" showInputMessage="1" showErrorMessage="1" prompt="Enter customer phone number in this cell" sqref="G10"/>
    <dataValidation allowBlank="1" showInputMessage="1" showErrorMessage="1" prompt="Enter company email address in this cell" sqref="B11"/>
    <dataValidation allowBlank="1" showInputMessage="1" showErrorMessage="1" prompt="Enter customer fax number in the cell at right" sqref="F11"/>
    <dataValidation allowBlank="1" showInputMessage="1" showErrorMessage="1" prompt="Enter customer fax number in this cell" sqref="G11"/>
    <dataValidation allowBlank="1" showInputMessage="1" showErrorMessage="1" prompt="Enter Item number in this column under this heading" sqref="B13"/>
    <dataValidation allowBlank="1" showInputMessage="1" showErrorMessage="1" prompt="Enter Description in this column under this heading" sqref="C13"/>
    <dataValidation allowBlank="1" showInputMessage="1" showErrorMessage="1" prompt="Enter Quantity in this column under this heading" sqref="D13"/>
    <dataValidation allowBlank="1" showInputMessage="1" showErrorMessage="1" prompt="Enter Unit Price in this column under this heading" sqref="E13"/>
    <dataValidation allowBlank="1" showInputMessage="1" showErrorMessage="1" prompt="Enter Discount in this column under this heading" sqref="F13"/>
    <dataValidation allowBlank="1" showInputMessage="1" showErrorMessage="1" prompt="Price is auto calculated under this heading" sqref="G13"/>
    <dataValidation allowBlank="1" showInputMessage="1" showErrorMessage="1" prompt="The subtotal amount is automatically calculated in this cell" sqref="G22"/>
    <dataValidation allowBlank="1" showInputMessage="1" showErrorMessage="1" prompt="Enter tax rate in this cell" sqref="G23"/>
    <dataValidation allowBlank="1" showInputMessage="1" showErrorMessage="1" prompt="The sales tax is automatically calculated in this cell" sqref="G24"/>
    <dataValidation allowBlank="1" showInputMessage="1" showErrorMessage="1" prompt="Enter the deposit amount, if any" sqref="G25"/>
    <dataValidation allowBlank="1" showInputMessage="1" showErrorMessage="1" prompt="The total amount is automatically calculated in this cell" sqref="G26"/>
    <dataValidation allowBlank="1" showInputMessage="1" showErrorMessage="1" prompt="Company name is automatically appended in this cell" sqref="B28:G28"/>
    <dataValidation allowBlank="1" showInputMessage="1" showErrorMessage="1" prompt="Replace the number of days in which the balance is due and service charge percent per month in this cell" sqref="B29:G29"/>
    <dataValidation allowBlank="1" showInputMessage="1" showErrorMessage="1" prompt="Update this cell with your company's email address and website" sqref="B30:G30"/>
  </dataValidations>
  <hyperlinks>
    <hyperlink ref="B11" r:id="rId3" display="elegantembrace@example.com"/>
  </hyperlinks>
  <printOptions horizontalCentered="1"/>
  <pageMargins left="0.25" right="0.25" top="0.75" bottom="0.75" header="0.3" footer="0.3"/>
  <pageSetup paperSize="1" scale="82" fitToHeight="0" orientation="portrait" horizontalDpi="300" verticalDpi="300"/>
  <headerFooter alignWithMargins="0" differentFirst="1">
    <oddFooter>&amp;CPage &amp;P of &amp;N</oddFooter>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FF0F6D8-810E-4212-9EE6-9586F0C08C27}">
  <ds:schemaRefs/>
</ds:datastoreItem>
</file>

<file path=customXml/itemProps2.xml><?xml version="1.0" encoding="utf-8"?>
<ds:datastoreItem xmlns:ds="http://schemas.openxmlformats.org/officeDocument/2006/customXml" ds:itemID="{1E5C5DE4-DDC2-49C6-A326-5A02D73C4C34}">
  <ds:schemaRefs/>
</ds:datastoreItem>
</file>

<file path=customXml/itemProps3.xml><?xml version="1.0" encoding="utf-8"?>
<ds:datastoreItem xmlns:ds="http://schemas.openxmlformats.org/officeDocument/2006/customXml" ds:itemID="{D1339199-89B4-4D89-B804-0058AC96CA42}">
  <ds:schemaRefs/>
</ds:datastoreItem>
</file>

<file path=docProps/app.xml><?xml version="1.0" encoding="utf-8"?>
<Properties xmlns="http://schemas.openxmlformats.org/officeDocument/2006/extended-properties" xmlns:vt="http://schemas.openxmlformats.org/officeDocument/2006/docPropsVTypes">
  <Template>TM03987161</Template>
  <Application>Microsoft Excel</Application>
  <HeadingPairs>
    <vt:vector size="2" baseType="variant">
      <vt:variant>
        <vt:lpstr>工作表</vt:lpstr>
      </vt:variant>
      <vt:variant>
        <vt:i4>1</vt:i4>
      </vt:variant>
    </vt:vector>
  </HeadingPairs>
  <TitlesOfParts>
    <vt:vector size="1" baseType="lpstr">
      <vt:lpstr>Invoice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Roy.Wang</cp:lastModifiedBy>
  <dcterms:created xsi:type="dcterms:W3CDTF">2023-09-06T10:30:00Z</dcterms:created>
  <dcterms:modified xsi:type="dcterms:W3CDTF">2026-08-22T23:10:46Z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ICV">
    <vt:lpwstr>C21E86E5CF95450498B431B7FF51798F_12</vt:lpwstr>
  </property>
  <property fmtid="{D5CDD505-2E9C-101B-9397-08002B2CF9AE}" pid="4" name="KSOProductBuildVer">
    <vt:lpwstr>2052-12.1.0.28043</vt:lpwstr>
  </property>
  <property fmtid="{D5CDD505-2E9C-101B-9397-08002B2CF9AE}" pid="5" name="CalculationRule">
    <vt:i4>0</vt:i4>
  </property>
</Properties>
</file>